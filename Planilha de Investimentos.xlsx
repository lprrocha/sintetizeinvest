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Área de Trabalho\"/>
    </mc:Choice>
  </mc:AlternateContent>
  <xr:revisionPtr revIDLastSave="0" documentId="13_ncr:1_{C3DAD92A-A09E-4506-8C06-FD1B3E4AA933}" xr6:coauthVersionLast="47" xr6:coauthVersionMax="47" xr10:uidLastSave="{00000000-0000-0000-0000-000000000000}"/>
  <bookViews>
    <workbookView xWindow="-120" yWindow="-120" windowWidth="29040" windowHeight="15720" xr2:uid="{5AFF9E54-866F-4C58-BD24-269E4A8ECD8C}"/>
  </bookViews>
  <sheets>
    <sheet name="Cenario" sheetId="1" r:id="rId1"/>
    <sheet name="Planilha2" sheetId="2" state="hidden" r:id="rId2"/>
  </sheets>
  <definedNames>
    <definedName name="aporte">Cenario!$D$19</definedName>
    <definedName name="patrimonio">Cenario!$D$22</definedName>
    <definedName name="qtd_anos">Cenario!$D$20</definedName>
    <definedName name="rendimento_carteira">Cenario!$D$15</definedName>
    <definedName name="salario">Cenario!$D$14</definedName>
    <definedName name="sugestao_investimento">Cenario!$D$16</definedName>
    <definedName name="taxa_mensal">Cenario!$D$21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A15" i="2"/>
  <c r="A16" i="2"/>
  <c r="A17" i="2"/>
  <c r="A18" i="2"/>
  <c r="A19" i="2"/>
  <c r="A20" i="2"/>
  <c r="A9" i="2"/>
  <c r="A10" i="2"/>
  <c r="A11" i="2"/>
  <c r="A12" i="2"/>
  <c r="A13" i="2"/>
  <c r="A14" i="2"/>
  <c r="A4" i="2"/>
  <c r="A5" i="2"/>
  <c r="A6" i="2"/>
  <c r="A7" i="2"/>
  <c r="A8" i="2"/>
  <c r="A3" i="2"/>
  <c r="C33" i="1"/>
  <c r="D22" i="1"/>
  <c r="D23" i="1" s="1"/>
  <c r="D16" i="1"/>
  <c r="C27" i="1"/>
  <c r="D27" i="1" s="1"/>
  <c r="C28" i="1"/>
  <c r="D28" i="1" s="1"/>
  <c r="C29" i="1"/>
  <c r="D29" i="1" s="1"/>
  <c r="C30" i="1"/>
  <c r="D30" i="1" s="1"/>
  <c r="C26" i="1"/>
  <c r="D26" i="1" s="1"/>
  <c r="D39" i="1" l="1"/>
  <c r="D37" i="1"/>
  <c r="D36" i="1"/>
  <c r="D41" i="1"/>
  <c r="D40" i="1"/>
  <c r="D38" i="1"/>
  <c r="D42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<sst xmlns="http://schemas.openxmlformats.org/spreadsheetml/2006/main" count="69" uniqueCount="33">
  <si>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</si>
  <si>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</si>
  <si>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Rendimeto mensal?</t>
  </si>
  <si>
    <t>Patrimônio acumulado?</t>
  </si>
  <si>
    <t>Dividendos Mensais?</t>
  </si>
  <si>
    <t>INVESTIMENTO MENSAL</t>
  </si>
  <si>
    <t>Quanto em 2 Anos?</t>
  </si>
  <si>
    <t>Quanto em 30 Anos?</t>
  </si>
  <si>
    <t>Quanto em 20 Anos?</t>
  </si>
  <si>
    <t>Cenários</t>
  </si>
  <si>
    <t>Quanto em 7 Anos?</t>
  </si>
  <si>
    <t>Dividendo</t>
  </si>
  <si>
    <t>Quanto em 10 Anos?</t>
  </si>
  <si>
    <t>Salário</t>
  </si>
  <si>
    <t>Rendimento Carteira</t>
  </si>
  <si>
    <t>CONFIGURAÇÕES</t>
  </si>
  <si>
    <t>Agressivo</t>
  </si>
  <si>
    <t>VALOR A SER INVESTIDO POR MÊS</t>
  </si>
  <si>
    <t>PERFIL</t>
  </si>
  <si>
    <t>TIPO DE FII</t>
  </si>
  <si>
    <t>%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</si>
  <si>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</si>
  <si>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</si>
  <si>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</si>
  <si>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</si>
  <si>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</si>
  <si>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</si>
  <si>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</si>
  <si>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Conservardor</t>
  </si>
  <si>
    <t>%</t>
  </si>
  <si>
    <t>CHAVE</t>
  </si>
  <si>
    <t>Moderado</t>
  </si>
  <si>
    <t>Sugestão de Investimento(30%)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</si>
</sst>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9C5700"/>
      <name val="Calibri"/>
      <family val="2"/>
    </font>
    <font>
      <sz val="10"/>
      <color theme="0"/>
      <name val="Calibri"/>
      <family val="2"/>
    </font>
    <font>
      <sz val="20"/>
      <color theme="0"/>
      <name val="Segoe UI Semibold"/>
      <family val="2"/>
    </font>
    <font>
      <sz val="14"/>
      <color theme="0"/>
      <name val="Segoe UI Semibold"/>
      <family val="2"/>
    </font>
    <font>
      <sz val="11"/>
      <color theme="1"/>
      <name val="Segoe UI"/>
      <family val="2"/>
    </font>
    <font>
      <sz val="11"/>
      <color rgb="FF9C5700"/>
      <name val="Segoe UI"/>
      <family val="2"/>
    </font>
    <font>
      <b/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0294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theme="0" tint="-0.14996795556505021"/>
      </right>
      <top/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/>
      <bottom style="dashed">
        <color theme="0" tint="-0.14996795556505021"/>
      </bottom>
      <diagonal/>
    </border>
    <border>
      <left style="dashed">
        <color theme="0" tint="-0.14996795556505021"/>
      </left>
      <right style="medium">
        <color indexed="64"/>
      </right>
      <top/>
      <bottom style="dashed">
        <color theme="0" tint="-0.14996795556505021"/>
      </bottom>
      <diagonal/>
    </border>
    <border>
      <left style="medium">
        <color indexed="64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medium">
        <color indexed="64"/>
      </right>
      <top style="dashed">
        <color theme="0" tint="-0.14996795556505021"/>
      </top>
      <bottom style="dashed">
        <color theme="0" tint="-0.14996795556505021"/>
      </bottom>
      <diagonal/>
    </border>
    <border>
      <left style="medium">
        <color indexed="64"/>
      </left>
      <right style="dashed">
        <color theme="0" tint="-0.14996795556505021"/>
      </right>
      <top style="dashed">
        <color theme="0" tint="-0.14996795556505021"/>
      </top>
      <bottom style="medium">
        <color indexed="64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medium">
        <color indexed="64"/>
      </bottom>
      <diagonal/>
    </border>
    <border>
      <left style="dashed">
        <color theme="0" tint="-0.14996795556505021"/>
      </left>
      <right style="medium">
        <color indexed="64"/>
      </right>
      <top style="dashed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theme="0" tint="-0.14996795556505021"/>
      </bottom>
      <diagonal/>
    </border>
    <border>
      <left/>
      <right style="dashed">
        <color theme="0" tint="-0.14996795556505021"/>
      </right>
      <top/>
      <bottom style="dashed">
        <color theme="0" tint="-0.14996795556505021"/>
      </bottom>
      <diagonal/>
    </border>
    <border>
      <left style="medium">
        <color indexed="64"/>
      </left>
      <right/>
      <top style="dashed">
        <color theme="0" tint="-0.14996795556505021"/>
      </top>
      <bottom style="dashed">
        <color theme="0" tint="-0.14996795556505021"/>
      </bottom>
      <diagonal/>
    </border>
    <border>
      <left/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medium">
        <color indexed="64"/>
      </left>
      <right/>
      <top style="dashed">
        <color theme="0" tint="-0.14996795556505021"/>
      </top>
      <bottom style="medium">
        <color indexed="64"/>
      </bottom>
      <diagonal/>
    </border>
    <border>
      <left/>
      <right style="dashed">
        <color theme="0" tint="-0.14996795556505021"/>
      </right>
      <top style="dashed">
        <color theme="0" tint="-0.14996795556505021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5" fillId="3" borderId="2" xfId="0" applyFont="1" applyFill="1" applyBorder="1" applyAlignment="1">
      <alignment vertical="center"/>
    </xf>
    <xf numFmtId="0" fontId="7" fillId="2" borderId="0" xfId="2" applyFont="1"/>
    <xf numFmtId="0" fontId="7" fillId="2" borderId="0" xfId="2" applyFont="1" applyBorder="1" applyAlignment="1"/>
    <xf numFmtId="0" fontId="7" fillId="2" borderId="0" xfId="2" applyFont="1" applyAlignment="1">
      <alignment horizontal="center"/>
    </xf>
    <xf numFmtId="0" fontId="8" fillId="4" borderId="0" xfId="0" applyFont="1" applyFill="1"/>
    <xf numFmtId="164" fontId="8" fillId="4" borderId="0" xfId="0" applyNumberFormat="1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8" fillId="4" borderId="0" xfId="0" applyFont="1" applyFill="1" applyAlignment="1">
      <alignment horizontal="center"/>
    </xf>
    <xf numFmtId="164" fontId="6" fillId="4" borderId="7" xfId="1" applyNumberFormat="1" applyFont="1" applyFill="1" applyBorder="1" applyAlignment="1">
      <alignment horizontal="center"/>
    </xf>
    <xf numFmtId="10" fontId="6" fillId="4" borderId="10" xfId="0" applyNumberFormat="1" applyFont="1" applyFill="1" applyBorder="1" applyAlignment="1">
      <alignment horizontal="center"/>
    </xf>
    <xf numFmtId="164" fontId="6" fillId="4" borderId="13" xfId="0" applyNumberFormat="1" applyFont="1" applyFill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0" fontId="8" fillId="0" borderId="10" xfId="0" applyNumberFormat="1" applyFont="1" applyBorder="1" applyAlignment="1">
      <alignment horizontal="center"/>
    </xf>
    <xf numFmtId="164" fontId="8" fillId="4" borderId="10" xfId="0" applyNumberFormat="1" applyFont="1" applyFill="1" applyBorder="1" applyAlignment="1">
      <alignment horizontal="center"/>
    </xf>
    <xf numFmtId="164" fontId="8" fillId="4" borderId="13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left" indent="3"/>
    </xf>
    <xf numFmtId="8" fontId="6" fillId="4" borderId="6" xfId="0" applyNumberFormat="1" applyFont="1" applyFill="1" applyBorder="1"/>
    <xf numFmtId="8" fontId="6" fillId="4" borderId="7" xfId="0" applyNumberFormat="1" applyFont="1" applyFill="1" applyBorder="1"/>
    <xf numFmtId="0" fontId="6" fillId="4" borderId="8" xfId="0" applyFont="1" applyFill="1" applyBorder="1" applyAlignment="1">
      <alignment horizontal="left" indent="3"/>
    </xf>
    <xf numFmtId="8" fontId="6" fillId="4" borderId="9" xfId="0" applyNumberFormat="1" applyFont="1" applyFill="1" applyBorder="1"/>
    <xf numFmtId="8" fontId="6" fillId="4" borderId="10" xfId="0" applyNumberFormat="1" applyFont="1" applyFill="1" applyBorder="1"/>
    <xf numFmtId="0" fontId="6" fillId="4" borderId="11" xfId="0" applyFont="1" applyFill="1" applyBorder="1" applyAlignment="1">
      <alignment horizontal="left" indent="3"/>
    </xf>
    <xf numFmtId="8" fontId="6" fillId="4" borderId="12" xfId="0" applyNumberFormat="1" applyFont="1" applyFill="1" applyBorder="1"/>
    <xf numFmtId="8" fontId="6" fillId="4" borderId="13" xfId="0" applyNumberFormat="1" applyFont="1" applyFill="1" applyBorder="1"/>
    <xf numFmtId="164" fontId="6" fillId="6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left" indent="3"/>
    </xf>
    <xf numFmtId="0" fontId="6" fillId="6" borderId="15" xfId="0" applyFont="1" applyFill="1" applyBorder="1" applyAlignment="1">
      <alignment horizontal="left" indent="3"/>
    </xf>
    <xf numFmtId="0" fontId="6" fillId="6" borderId="16" xfId="0" applyFont="1" applyFill="1" applyBorder="1" applyAlignment="1">
      <alignment horizontal="left" indent="3"/>
    </xf>
    <xf numFmtId="0" fontId="6" fillId="6" borderId="17" xfId="0" applyFont="1" applyFill="1" applyBorder="1" applyAlignment="1">
      <alignment horizontal="left" indent="3"/>
    </xf>
    <xf numFmtId="0" fontId="6" fillId="6" borderId="18" xfId="0" applyFont="1" applyFill="1" applyBorder="1" applyAlignment="1">
      <alignment horizontal="left" indent="3"/>
    </xf>
    <xf numFmtId="0" fontId="6" fillId="6" borderId="19" xfId="0" applyFont="1" applyFill="1" applyBorder="1" applyAlignment="1">
      <alignment horizontal="left" indent="3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indent="3"/>
    </xf>
    <xf numFmtId="0" fontId="6" fillId="0" borderId="6" xfId="0" applyFont="1" applyBorder="1" applyAlignment="1">
      <alignment horizontal="left" indent="3"/>
    </xf>
    <xf numFmtId="0" fontId="6" fillId="0" borderId="8" xfId="0" applyFont="1" applyBorder="1" applyAlignment="1">
      <alignment horizontal="left" indent="3"/>
    </xf>
    <xf numFmtId="0" fontId="6" fillId="0" borderId="9" xfId="0" applyFont="1" applyBorder="1" applyAlignment="1">
      <alignment horizontal="left" indent="3"/>
    </xf>
    <xf numFmtId="0" fontId="8" fillId="4" borderId="8" xfId="0" applyFont="1" applyFill="1" applyBorder="1" applyAlignment="1">
      <alignment horizontal="left" indent="3"/>
    </xf>
    <xf numFmtId="0" fontId="8" fillId="4" borderId="9" xfId="0" applyFont="1" applyFill="1" applyBorder="1" applyAlignment="1">
      <alignment horizontal="left" indent="3"/>
    </xf>
    <xf numFmtId="0" fontId="8" fillId="4" borderId="11" xfId="0" applyFont="1" applyFill="1" applyBorder="1" applyAlignment="1">
      <alignment horizontal="left" indent="3"/>
    </xf>
    <xf numFmtId="0" fontId="8" fillId="4" borderId="12" xfId="0" applyFont="1" applyFill="1" applyBorder="1" applyAlignment="1">
      <alignment horizontal="left" indent="3"/>
    </xf>
    <xf numFmtId="0" fontId="4" fillId="3" borderId="2" xfId="0" applyFont="1" applyFill="1" applyBorder="1" applyAlignment="1">
      <alignment horizontal="center" vertic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257174</xdr:colOff>
      <xdr:row>0</xdr:row>
      <xdr:rowOff>85725</xdr:rowOff>
    </xdr:from>
    <xdr:to>
      <xdr:col>4</xdr:col>
      <xdr:colOff>9525</xdr:colOff>
      <xdr:row>11</xdr:row>
      <xdr:rowOff>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56D7298-A5A8-D20C-5793-BC13ADD1E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85725"/>
          <a:ext cx="7067551" cy="1495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5DE6-5591-4FC9-92E6-3ACAA89C26DE}">
  <dimension ref="A4:I42"/>
  <sheetViews>
    <sheetView showGridLines="0" tabSelected="1" workbookViewId="0">
      <selection activeCell="C32" sqref="C32"/>
    </sheetView>
  </sheetViews>
  <sheetFormatPr defaultColWidth="0" defaultRowHeight="12.75" x14ac:dyDescent="0.2"/>
  <cols>
    <col min="1" max="1" width="4.140625" customWidth="1"/>
    <col min="2" max="2" width="48.42578125" customWidth="1"/>
    <col min="3" max="3" width="34.85546875" bestFit="1" customWidth="1"/>
    <col min="4" max="4" width="22.28515625" customWidth="1"/>
    <col min="5" max="5" width="3.140625" customWidth="1"/>
    <col min="6" max="6" width="1.42578125" customWidth="1"/>
    <col min="7" max="7" width="2" customWidth="1"/>
    <col min="8" max="8" width="3.5703125" customWidth="1"/>
    <col min="9" max="9" width="2.42578125" hidden="1" customWidth="1"/>
    <col min="10" max="11" width="9.140625" hidden="1" customWidth="1"/>
    <col min="12" max="16384" width="9.140625" hidden="1"/>
  </cols>
  <sheetData>
    <row r="4" spans="2:4" ht="10.5" customHeight="1" x14ac:dyDescent="0.2"/>
    <row r="5" spans="2:4" ht="10.5" customHeight="1" x14ac:dyDescent="0.2"/>
    <row r="6" spans="2:4" ht="10.5" customHeight="1" x14ac:dyDescent="0.2"/>
    <row r="7" spans="2:4" ht="10.5" customHeight="1" x14ac:dyDescent="0.2"/>
    <row r="8" spans="2:4" ht="10.5" customHeight="1" x14ac:dyDescent="0.2"/>
    <row r="9" spans="2:4" ht="10.5" customHeight="1" x14ac:dyDescent="0.2"/>
    <row r="10" spans="2:4" ht="10.5" customHeight="1" x14ac:dyDescent="0.2"/>
    <row r="12" spans="2:4" ht="13.5" thickBot="1" x14ac:dyDescent="0.25"/>
    <row r="13" spans="2:4" ht="30.75" x14ac:dyDescent="0.2">
      <c r="B13" s="37" t="s">
        <v>15</v>
      </c>
      <c r="C13" s="38"/>
      <c r="D13" s="39"/>
    </row>
    <row r="14" spans="2:4" ht="16.5" x14ac:dyDescent="0.3">
      <c r="B14" s="40" t="s">
        <v>13</v>
      </c>
      <c r="C14" s="41"/>
      <c r="D14" s="12">
        <v>6000</v>
      </c>
    </row>
    <row r="15" spans="2:4" ht="16.5" x14ac:dyDescent="0.3">
      <c r="B15" s="42" t="s">
        <v>14</v>
      </c>
      <c r="C15" s="43"/>
      <c r="D15" s="13">
        <v>6.0000000000000001E-3</v>
      </c>
    </row>
    <row r="16" spans="2:4" ht="17.25" thickBot="1" x14ac:dyDescent="0.35">
      <c r="B16" s="44" t="s">
        <v>32</v>
      </c>
      <c r="C16" s="45"/>
      <c r="D16" s="14">
        <f>D14*30%</f>
        <v>1800</v>
      </c>
    </row>
    <row r="17" spans="1:4" ht="13.5" thickBot="1" x14ac:dyDescent="0.25"/>
    <row r="18" spans="1:4" ht="39" customHeight="1" x14ac:dyDescent="0.2">
      <c r="B18" s="46" t="s">
        <v>5</v>
      </c>
      <c r="C18" s="47"/>
      <c r="D18" s="56"/>
    </row>
    <row r="19" spans="1:4" ht="16.5" x14ac:dyDescent="0.3">
      <c r="B19" s="48" t="s">
        <v>0</v>
      </c>
      <c r="C19" s="49"/>
      <c r="D19" s="15">
        <v>1800</v>
      </c>
    </row>
    <row r="20" spans="1:4" ht="16.5" x14ac:dyDescent="0.3">
      <c r="B20" s="50" t="s">
        <v>1</v>
      </c>
      <c r="C20" s="51"/>
      <c r="D20" s="16">
        <v>5</v>
      </c>
    </row>
    <row r="21" spans="1:4" ht="16.5" x14ac:dyDescent="0.3">
      <c r="B21" s="50" t="s">
        <v>2</v>
      </c>
      <c r="C21" s="51"/>
      <c r="D21" s="17">
        <v>1.0789999999999999E-2</v>
      </c>
    </row>
    <row r="22" spans="1:4" ht="16.5" x14ac:dyDescent="0.3">
      <c r="B22" s="52" t="s">
        <v>3</v>
      </c>
      <c r="C22" s="53"/>
      <c r="D22" s="18">
        <f>FV(taxa_mensal,qtd_anos*12,aporte)*-1</f>
        <v>150798.44519727776</v>
      </c>
    </row>
    <row r="23" spans="1:4" ht="17.25" thickBot="1" x14ac:dyDescent="0.35">
      <c r="B23" s="54" t="s">
        <v>4</v>
      </c>
      <c r="C23" s="55"/>
      <c r="D23" s="19">
        <f>patrimonio*rendimento_carteira</f>
        <v>904.79067118366663</v>
      </c>
    </row>
    <row r="24" spans="1:4" ht="13.5" thickBot="1" x14ac:dyDescent="0.25"/>
    <row r="25" spans="1:4" ht="30.75" x14ac:dyDescent="0.2">
      <c r="B25" s="46" t="s">
        <v>9</v>
      </c>
      <c r="C25" s="47"/>
      <c r="D25" s="2" t="s">
        <v>11</v>
      </c>
    </row>
    <row r="26" spans="1:4" ht="16.5" x14ac:dyDescent="0.3">
      <c r="A26" s="1">
        <v>2</v>
      </c>
      <c r="B26" s="20" t="s">
        <v>6</v>
      </c>
      <c r="C26" s="21">
        <f>FV($D$21,$A26*12,$D$19*-1)</f>
        <v>49009.729135761394</v>
      </c>
      <c r="D26" s="22">
        <f>C26*rendimento_carteira</f>
        <v>294.05837481456837</v>
      </c>
    </row>
    <row r="27" spans="1:4" ht="16.5" x14ac:dyDescent="0.3">
      <c r="A27" s="1">
        <v>7</v>
      </c>
      <c r="B27" s="23" t="s">
        <v>10</v>
      </c>
      <c r="C27" s="24">
        <f>FV($D$21,$A27*12,$D$19*-1)</f>
        <v>244110.6612136855</v>
      </c>
      <c r="D27" s="25">
        <f>C27*rendimento_carteira</f>
        <v>1464.6639672821129</v>
      </c>
    </row>
    <row r="28" spans="1:4" ht="16.5" x14ac:dyDescent="0.3">
      <c r="A28" s="1">
        <v>10</v>
      </c>
      <c r="B28" s="23" t="s">
        <v>12</v>
      </c>
      <c r="C28" s="24">
        <f>FV($D$21,$A28*12,$D$19*-1)</f>
        <v>437911.58255430998</v>
      </c>
      <c r="D28" s="25">
        <f>C28*rendimento_carteira</f>
        <v>2627.46949532586</v>
      </c>
    </row>
    <row r="29" spans="1:4" ht="16.5" x14ac:dyDescent="0.3">
      <c r="A29" s="1">
        <v>20</v>
      </c>
      <c r="B29" s="23" t="s">
        <v>8</v>
      </c>
      <c r="C29" s="24">
        <f>FV($D$21,$A29*12,$D$19*-1)</f>
        <v>2025357.1201747451</v>
      </c>
      <c r="D29" s="25">
        <f>C29*rendimento_carteira</f>
        <v>12152.142721048471</v>
      </c>
    </row>
    <row r="30" spans="1:4" ht="17.25" thickBot="1" x14ac:dyDescent="0.35">
      <c r="A30" s="1">
        <v>30</v>
      </c>
      <c r="B30" s="26" t="s">
        <v>7</v>
      </c>
      <c r="C30" s="27">
        <f>FV($D$21,$A30*12,$D$19*-1)</f>
        <v>7779905.3790084859</v>
      </c>
      <c r="D30" s="28">
        <f>C30*rendimento_carteira</f>
        <v>46679.432274050916</v>
      </c>
    </row>
    <row r="32" spans="1:4" ht="16.5" x14ac:dyDescent="0.3">
      <c r="B32" s="4" t="s">
        <v>18</v>
      </c>
      <c r="C32" s="5" t="s">
        <v>31</v>
      </c>
      <c r="D32" s="3"/>
    </row>
    <row r="33" spans="2:4" ht="16.5" x14ac:dyDescent="0.3">
      <c r="B33" s="6" t="s">
        <v>17</v>
      </c>
      <c r="C33" s="7">
        <f>aporte</f>
        <v>1800</v>
      </c>
      <c r="D33" s="6"/>
    </row>
    <row r="34" spans="2:4" ht="16.5" x14ac:dyDescent="0.3">
      <c r="B34" s="8"/>
      <c r="C34" s="8"/>
      <c r="D34" s="8"/>
    </row>
    <row r="35" spans="2:4" ht="16.5" x14ac:dyDescent="0.3">
      <c r="B35" s="11" t="s">
        <v>19</v>
      </c>
      <c r="C35" s="11" t="s">
        <v>20</v>
      </c>
      <c r="D35" s="11" t="s">
        <v>21</v>
      </c>
    </row>
    <row r="36" spans="2:4" ht="16.5" x14ac:dyDescent="0.3">
      <c r="B36" s="9" t="s">
        <v>22</v>
      </c>
      <c r="C36" s="10">
        <f>VLOOKUP($C$32&amp;"-"&amp;B36,Planilha2!$A:$D,4,FALSE)</f>
        <v>0.32</v>
      </c>
      <c r="D36" s="29">
        <f>C36*$C$33</f>
        <v>576</v>
      </c>
    </row>
    <row r="37" spans="2:4" ht="16.5" x14ac:dyDescent="0.3">
      <c r="B37" s="9" t="s">
        <v>23</v>
      </c>
      <c r="C37" s="10">
        <f>VLOOKUP($C$32&amp;"-"&amp;B37,Planilha2!$A:$D,4,FALSE)</f>
        <v>0.35</v>
      </c>
      <c r="D37" s="29">
        <f t="shared" ref="D37:D41" si="0">C37*$C$33</f>
        <v>630</v>
      </c>
    </row>
    <row r="38" spans="2:4" ht="16.5" x14ac:dyDescent="0.3">
      <c r="B38" s="9" t="s">
        <v>24</v>
      </c>
      <c r="C38" s="10">
        <f>VLOOKUP($C$32&amp;"-"&amp;B38,Planilha2!$A:$D,4,FALSE)</f>
        <v>0.08</v>
      </c>
      <c r="D38" s="29">
        <f t="shared" si="0"/>
        <v>144</v>
      </c>
    </row>
    <row r="39" spans="2:4" ht="16.5" x14ac:dyDescent="0.3">
      <c r="B39" s="9" t="s">
        <v>25</v>
      </c>
      <c r="C39" s="10">
        <f>VLOOKUP($C$32&amp;"-"&amp;B39,Planilha2!$A:$D,4,FALSE)</f>
        <v>0.05</v>
      </c>
      <c r="D39" s="29">
        <f t="shared" si="0"/>
        <v>90</v>
      </c>
    </row>
    <row r="40" spans="2:4" ht="16.5" x14ac:dyDescent="0.3">
      <c r="B40" s="9" t="s">
        <v>26</v>
      </c>
      <c r="C40" s="10">
        <f>VLOOKUP($C$32&amp;"-"&amp;B40,Planilha2!$A:$D,4,FALSE)</f>
        <v>0.1</v>
      </c>
      <c r="D40" s="29">
        <f t="shared" si="0"/>
        <v>180</v>
      </c>
    </row>
    <row r="41" spans="2:4" ht="16.5" x14ac:dyDescent="0.3">
      <c r="B41" s="9" t="s">
        <v>27</v>
      </c>
      <c r="C41" s="10">
        <f>VLOOKUP($C$32&amp;"-"&amp;B41,Planilha2!$A:$D,4,FALSE)</f>
        <v>0.1</v>
      </c>
      <c r="D41" s="29">
        <f t="shared" si="0"/>
        <v>180</v>
      </c>
    </row>
    <row r="42" spans="2:4" ht="16.5" x14ac:dyDescent="0.3">
      <c r="B42" s="11"/>
      <c r="C42" s="11"/>
      <c r="D42" s="7">
        <f>SUM(D36:D41)</f>
        <v>1800</v>
      </c>
    </row>
  </sheetData>
  <mergeCells count="11">
    <mergeCell ref="B13:D13"/>
    <mergeCell ref="B14:C14"/>
    <mergeCell ref="B15:C15"/>
    <mergeCell ref="B16:C16"/>
    <mergeCell ref="B25:C25"/>
    <mergeCell ref="B19:C19"/>
    <mergeCell ref="B20:C20"/>
    <mergeCell ref="B21:C21"/>
    <mergeCell ref="B22:C22"/>
    <mergeCell ref="B23:C23"/>
    <mergeCell ref="B18:D18"/>
  </mergeCells>
  <dataValidations count="1">
    <dataValidation type="list" allowBlank="1" showInputMessage="1" showErrorMessage="1" sqref="C32" xr:uid="{EAE8EBF2-F440-4353-9323-039009750741}">
      <formula1>"Conservardor,Moderado,Agressivo"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9DD4-2334-42A3-A013-0FD2DE46BBC6}">
  <dimension ref="A2:D20"/>
  <sheetViews>
    <sheetView workbookViewId="0">
      <selection activeCell="A2" sqref="A2:D2"/>
    </sheetView>
  </sheetViews>
  <sheetFormatPr defaultRowHeight="12.75" x14ac:dyDescent="0.2"/>
  <cols>
    <col min="1" max="1" width="28" bestFit="1" customWidth="1"/>
    <col min="2" max="2" width="11.7109375" bestFit="1" customWidth="1"/>
    <col min="3" max="3" width="20.85546875" bestFit="1" customWidth="1"/>
  </cols>
  <sheetData>
    <row r="2" spans="1:4" x14ac:dyDescent="0.2">
      <c r="A2" s="35" t="s">
        <v>30</v>
      </c>
      <c r="B2" s="35" t="s">
        <v>18</v>
      </c>
      <c r="C2" s="36" t="s">
        <v>19</v>
      </c>
      <c r="D2" s="36" t="s">
        <v>29</v>
      </c>
    </row>
    <row r="3" spans="1:4" x14ac:dyDescent="0.2">
      <c r="A3" t="str">
        <f>B3&amp;"-"&amp;C3</f>
        <v>Conservardor-PAPEL</v>
      </c>
      <c r="B3" t="s">
        <v>28</v>
      </c>
      <c r="C3" s="30" t="s">
        <v>22</v>
      </c>
      <c r="D3" s="32">
        <v>0.3</v>
      </c>
    </row>
    <row r="4" spans="1:4" x14ac:dyDescent="0.2">
      <c r="A4" t="str">
        <f t="shared" ref="A4:A20" si="0">B4&amp;"-"&amp;C4</f>
        <v>Conservardor-TIJOLO</v>
      </c>
      <c r="B4" t="s">
        <v>28</v>
      </c>
      <c r="C4" s="30" t="s">
        <v>23</v>
      </c>
      <c r="D4" s="32">
        <v>0.5</v>
      </c>
    </row>
    <row r="5" spans="1:4" x14ac:dyDescent="0.2">
      <c r="A5" t="str">
        <f t="shared" si="0"/>
        <v>Conservardor-HÍBRIDOS</v>
      </c>
      <c r="B5" t="s">
        <v>28</v>
      </c>
      <c r="C5" s="30" t="s">
        <v>24</v>
      </c>
      <c r="D5" s="32">
        <v>0.1</v>
      </c>
    </row>
    <row r="6" spans="1:4" x14ac:dyDescent="0.2">
      <c r="A6" t="str">
        <f t="shared" si="0"/>
        <v>Conservardor-Fof's</v>
      </c>
      <c r="B6" t="s">
        <v>28</v>
      </c>
      <c r="C6" s="30" t="s">
        <v>25</v>
      </c>
      <c r="D6" s="32">
        <v>0.1</v>
      </c>
    </row>
    <row r="7" spans="1:4" x14ac:dyDescent="0.2">
      <c r="A7" t="str">
        <f t="shared" si="0"/>
        <v>Conservardor-DESENVOLVIMENTO</v>
      </c>
      <c r="B7" t="s">
        <v>28</v>
      </c>
      <c r="C7" s="30" t="s">
        <v>26</v>
      </c>
      <c r="D7" s="32">
        <v>0</v>
      </c>
    </row>
    <row r="8" spans="1:4" ht="13.5" thickBot="1" x14ac:dyDescent="0.25">
      <c r="A8" s="31" t="str">
        <f t="shared" si="0"/>
        <v>Conservardor-HOTELARIAS</v>
      </c>
      <c r="B8" s="31" t="s">
        <v>28</v>
      </c>
      <c r="C8" s="34" t="s">
        <v>27</v>
      </c>
      <c r="D8" s="33">
        <v>0</v>
      </c>
    </row>
    <row r="9" spans="1:4" x14ac:dyDescent="0.2">
      <c r="A9" t="str">
        <f t="shared" si="0"/>
        <v>Moderado-PAPEL</v>
      </c>
      <c r="B9" t="s">
        <v>31</v>
      </c>
      <c r="C9" s="30" t="s">
        <v>22</v>
      </c>
      <c r="D9" s="32">
        <v>0.32</v>
      </c>
    </row>
    <row r="10" spans="1:4" x14ac:dyDescent="0.2">
      <c r="A10" t="str">
        <f t="shared" si="0"/>
        <v>Moderado-TIJOLO</v>
      </c>
      <c r="B10" t="s">
        <v>31</v>
      </c>
      <c r="C10" s="30" t="s">
        <v>23</v>
      </c>
      <c r="D10" s="32">
        <v>0.35</v>
      </c>
    </row>
    <row r="11" spans="1:4" x14ac:dyDescent="0.2">
      <c r="A11" t="str">
        <f t="shared" si="0"/>
        <v>Moderado-HÍBRIDOS</v>
      </c>
      <c r="B11" t="s">
        <v>31</v>
      </c>
      <c r="C11" s="30" t="s">
        <v>24</v>
      </c>
      <c r="D11" s="32">
        <v>0.08</v>
      </c>
    </row>
    <row r="12" spans="1:4" x14ac:dyDescent="0.2">
      <c r="A12" t="str">
        <f t="shared" si="0"/>
        <v>Moderado-Fof's</v>
      </c>
      <c r="B12" t="s">
        <v>31</v>
      </c>
      <c r="C12" s="30" t="s">
        <v>25</v>
      </c>
      <c r="D12" s="32">
        <v>0.05</v>
      </c>
    </row>
    <row r="13" spans="1:4" x14ac:dyDescent="0.2">
      <c r="A13" t="str">
        <f t="shared" si="0"/>
        <v>Moderado-DESENVOLVIMENTO</v>
      </c>
      <c r="B13" t="s">
        <v>31</v>
      </c>
      <c r="C13" s="30" t="s">
        <v>26</v>
      </c>
      <c r="D13" s="32">
        <v>0.1</v>
      </c>
    </row>
    <row r="14" spans="1:4" ht="13.5" thickBot="1" x14ac:dyDescent="0.25">
      <c r="A14" s="31" t="str">
        <f t="shared" si="0"/>
        <v>Moderado-HOTELARIAS</v>
      </c>
      <c r="B14" s="31" t="s">
        <v>31</v>
      </c>
      <c r="C14" s="34" t="s">
        <v>27</v>
      </c>
      <c r="D14" s="33">
        <v>0.1</v>
      </c>
    </row>
    <row r="15" spans="1:4" x14ac:dyDescent="0.2">
      <c r="A15" t="str">
        <f t="shared" si="0"/>
        <v>Agressivo-PAPEL</v>
      </c>
      <c r="B15" t="s">
        <v>16</v>
      </c>
      <c r="C15" s="30" t="s">
        <v>22</v>
      </c>
      <c r="D15" s="32">
        <v>0.5</v>
      </c>
    </row>
    <row r="16" spans="1:4" x14ac:dyDescent="0.2">
      <c r="A16" t="str">
        <f t="shared" si="0"/>
        <v>Agressivo-TIJOLO</v>
      </c>
      <c r="B16" t="s">
        <v>16</v>
      </c>
      <c r="C16" s="30" t="s">
        <v>23</v>
      </c>
      <c r="D16" s="32">
        <v>0.1</v>
      </c>
    </row>
    <row r="17" spans="1:4" x14ac:dyDescent="0.2">
      <c r="A17" t="str">
        <f t="shared" si="0"/>
        <v>Agressivo-HÍBRIDOS</v>
      </c>
      <c r="B17" t="s">
        <v>16</v>
      </c>
      <c r="C17" s="30" t="s">
        <v>24</v>
      </c>
      <c r="D17" s="32">
        <v>0.05</v>
      </c>
    </row>
    <row r="18" spans="1:4" x14ac:dyDescent="0.2">
      <c r="A18" t="str">
        <f t="shared" si="0"/>
        <v>Agressivo-Fof's</v>
      </c>
      <c r="B18" t="s">
        <v>16</v>
      </c>
      <c r="C18" s="30" t="s">
        <v>25</v>
      </c>
      <c r="D18" s="32">
        <v>0.05</v>
      </c>
    </row>
    <row r="19" spans="1:4" x14ac:dyDescent="0.2">
      <c r="A19" t="str">
        <f t="shared" si="0"/>
        <v>Agressivo-DESENVOLVIMENTO</v>
      </c>
      <c r="B19" t="s">
        <v>16</v>
      </c>
      <c r="C19" s="30" t="s">
        <v>26</v>
      </c>
      <c r="D19" s="32">
        <v>0.2</v>
      </c>
    </row>
    <row r="20" spans="1:4" x14ac:dyDescent="0.2">
      <c r="A20" t="str">
        <f t="shared" si="0"/>
        <v>Agressivo-HOTELARIAS</v>
      </c>
      <c r="B20" t="s">
        <v>16</v>
      </c>
      <c r="C20" s="30" t="s">
        <v>27</v>
      </c>
      <c r="D20" s="3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Cenario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Rocha</dc:creator>
  <cp:lastModifiedBy>Lucas Rocha</cp:lastModifiedBy>
  <dcterms:created xsi:type="dcterms:W3CDTF">2025-12-23T12:05:03Z</dcterms:created>
  <dcterms:modified xsi:type="dcterms:W3CDTF">2025-12-26T19:31:16Z</dcterms:modified>
</cp:coreProperties>
</file>